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or lock mechanism" sheetId="1" r:id="rId5"/>
  </sheets>
  <definedNames/>
  <calcPr/>
</workbook>
</file>

<file path=xl/sharedStrings.xml><?xml version="1.0" encoding="utf-8"?>
<sst xmlns="http://schemas.openxmlformats.org/spreadsheetml/2006/main" count="110" uniqueCount="85">
  <si>
    <t>Item Num</t>
  </si>
  <si>
    <t>Item Name</t>
  </si>
  <si>
    <t>Purpose</t>
  </si>
  <si>
    <t>Unit Price (USD)</t>
  </si>
  <si>
    <t>Converted price(LKR)</t>
  </si>
  <si>
    <t>Quantity</t>
  </si>
  <si>
    <t>Cost</t>
  </si>
  <si>
    <t>Availability (In Office)</t>
  </si>
  <si>
    <t>option (select this option from the website)</t>
  </si>
  <si>
    <t>Link</t>
  </si>
  <si>
    <t>Digital AC servo Driver</t>
  </si>
  <si>
    <t>Control hub motors</t>
  </si>
  <si>
    <t>yes</t>
  </si>
  <si>
    <t>https://zltech-hubmotor.en.made-in-china.com/product/GFTAuCzSbKVf/China-Zltech-Zlac8015D-24V-36V-48V-15A-30A-500W-3-Phase-Canopen-RS485-AC-DC-Hub-Servo-Motor-Driver-for-Automatic-Delivery-Robot.html</t>
  </si>
  <si>
    <t>Shock absorber</t>
  </si>
  <si>
    <t>for motor wheels</t>
  </si>
  <si>
    <t>no</t>
  </si>
  <si>
    <t>125mm(750LB)</t>
  </si>
  <si>
    <t>https://www.aliexpress.com/item/1005011528664443.html?spm=a2g0o.detail.pcDetailTopMoreOtherSeller.7.62eau6uGu6uGyn&amp;gps-id=pcDetailTopMoreOtherSeller&amp;scm=1007.40050.354490.0&amp;scm_id=1007.40050.354490.0&amp;scm-url=1007.40050.354490.0&amp;pvid=95cbe572-d160-48bc-803c-ba0ac5a07730&amp;_t=gps-id%3ApcDetailTopMoreOtherSeller%2Cscm-url%3A1007.40050.354490.0%2Cpvid%3A95cbe572-d160-48bc-803c-ba0ac5a07730%2Ctpp_buckets%3A668%232846%238114%231999&amp;pdp_ext_f=%7B%22order%22%3A%22219%22%2C%22eval%22%3A%221%22%2C%22sceneId%22%3A%2230050%22%2C%22fromPage%22%3A%22recommend%22%7D&amp;pdp_npi=6%40dis%21LKR%21374.13%21318.12%21%21%216.68%215.68%21%400be71e1917906738284263492e0d9b%2112000055831084198%21rec%21LK%211901724142%21X%211%210%21n_tag%3A-29919%3Bd%3A72098d1e%3Bm03_new_user%3A-29895&amp;utparam-url=scene%3ApcDetailTopMoreOtherSeller%7Cquery_from%3A%7Cx_object_id%3A1005011528664443%7C_p_origin_prod%3A</t>
  </si>
  <si>
    <t>heavy duty caster wheels (4PCS)</t>
  </si>
  <si>
    <t>support for AGV</t>
  </si>
  <si>
    <t xml:space="preserve">2 inch (M10*25)     </t>
  </si>
  <si>
    <t>https://www.aliexpress.com/item/1005010676845393.html?spm=a2g0o.detail.pcDetailBottomMoreOtherSeller.2.4994zkDDzkDDGp&amp;gps-id=pcDetailBottomMoreOtherSeller&amp;scm=1007.40050.354490.0&amp;scm_id=1007.40050.354490.0&amp;scm-url=1007.40050.354490.0&amp;pvid=6b8a2623-51a7-4637-8dd4-42f518c35f39&amp;_t=gps-id%3ApcDetailBottomMoreOtherSeller%2Cscm-url%3A1007.40050.354490.0%2Cpvid%3A6b8a2623-51a7-4637-8dd4-42f518c35f39%2Ctpp_buckets%3A668%232846%238114%231999&amp;pdp_ext_f=%7B%22order%22%3A%22147%22%2C%22eval%22%3A%221%22%2C%22sceneId%22%3A%2230050%22%2C%22fromPage%22%3A%22recommend%22%7D&amp;pdp_npi=6%40dis%21LKR%2111948.55%215970.51%21%21%21213.34%21106.60%21%402102ee9117906722687307280e0df6%2112000053164085364%21rec%21LK%211901724142%21X%211%210%21n_tag%3A-29919%3Bd%3A72098d1e%3Bm03_new_user%3A-29895%3BpisId%3A5000000216877926&amp;utparam-url=scene%3ApcDetailBottomMoreOtherSeller%7Cquery_from%3A%7Cx_object_id%3A1005010676845393%7C_p_origin_prod%3A#nav-specification</t>
  </si>
  <si>
    <t>Industrial USB to RS485 Bidirectional Converter</t>
  </si>
  <si>
    <t>connect motor driver &amp; the Raspberrypi</t>
  </si>
  <si>
    <t>https://www.waveshare.com/usb-to-rs485.htm</t>
  </si>
  <si>
    <t>TZS-MAG-1600-A Magnetic navigation sensor</t>
  </si>
  <si>
    <t>for guide the AGV through the magnetic strips</t>
  </si>
  <si>
    <t>https://tongzhutech.en.made-in-china.com/product/nZwajWmJYukY/China-Agv-Magnetic-Navigation-Sensor-High-Precision-Magnetic-Navigation-Agv-Car-Robot-Sensor-with-Can-RS485-RS232-Communication-Interface-TZS-MAG-1600-A-.html?pv_id=1k39gs6b9e67&amp;faw_id=1k39gs79oaf5&amp;bv_id=1k39gu34bb6d&amp;pbv_id=1k39gs5gj563</t>
  </si>
  <si>
    <t>Solenoid door lock</t>
  </si>
  <si>
    <t>for mounting AGV to trolly</t>
  </si>
  <si>
    <t>lock and buckle</t>
  </si>
  <si>
    <t>https://www.aliexpress.com/item/1005004781413511.html?spm=a2g0o.productlist.main.12.7d1644ceaFXjXy&amp;aem_p4p_detail=202609290138221540819510718490006022369&amp;algo_pvid=630c0a0d-5fcf-43cc-9fc9-950e847f5cc4&amp;algo_exp_id=630c0a0d-5fcf-43cc-9fc9-950e847f5cc4-11&amp;pdp_ext_f=%7B%22order%22%3A%22126%22%2C%22eval%22%3A%221%22%2C%22fromPage%22%3A%22search%22%7D&amp;pdp_npi=6%40dis%21LKR%211364.15%211364.15%21%21%213.63%213.63%21%402101528c17906711020441647e0fdb%2112000030463450272%21sea%21LK%211901724142%21X%211%210%21n_tag%3A-29919%3Bd%3A72098d1e%3Bm03_new_user%3A-29895&amp;curPageLogUid=fjoXOVAutQRP&amp;utparam-url=scene%3Asearch%7Cquery_from%3A%7Cx_object_id%3A1005004781413511%7C_p_origin_prod%3A&amp;search_p4p_id=202609290138221540819510718490006022369_3#nav-specification</t>
  </si>
  <si>
    <t>RPI 4B (8GB)</t>
  </si>
  <si>
    <t xml:space="preserve">Microprocessor </t>
  </si>
  <si>
    <t>https://tronic.lk/product/raspberry-pi-4-model-b-8gb-original-uk?srsltid=AU7gw4VYazQYfN2kfBSAsI5bcWw7FJZo-4lA-dao6V-XNvxHLk9l_Trx</t>
  </si>
  <si>
    <t>Caster wheels for trolly</t>
  </si>
  <si>
    <t>trolly</t>
  </si>
  <si>
    <t>https://www.jtc.lk/product/thread-type-swivel-and-lockable-5-tpr-thermoplastic-rubber-caster-wheel/</t>
  </si>
  <si>
    <t>magnetic tape</t>
  </si>
  <si>
    <t>for AGV traversal</t>
  </si>
  <si>
    <t>https://naviq.com/shop/magnetic-tape-25mm</t>
  </si>
  <si>
    <t>2040 aluminium profile (2m) (may differ with the design)</t>
  </si>
  <si>
    <t xml:space="preserve">AGV structure </t>
  </si>
  <si>
    <t>local</t>
  </si>
  <si>
    <t>4040 aluminium profile (2m) (may differ with the design)</t>
  </si>
  <si>
    <t>Emergency stop button</t>
  </si>
  <si>
    <t>Emergency stop AGV</t>
  </si>
  <si>
    <t>https://alphatronic.lk/product/emergency-stop-push-button-switch-22mm/?srsltid=AU7gw4X8Dcazg7KKl9r0YZBGu8gsfUeiyIR4zamuf29f_YZlXdPUhDoV</t>
  </si>
  <si>
    <t xml:space="preserve">Ultrasonic sensors </t>
  </si>
  <si>
    <t xml:space="preserve">Object detection </t>
  </si>
  <si>
    <t>I2C</t>
  </si>
  <si>
    <t>https://www.dfrobot.com/product-1832.html</t>
  </si>
  <si>
    <t>RPLidar A1M8 Lidar sensor</t>
  </si>
  <si>
    <t>Object detection and traversal</t>
  </si>
  <si>
    <t>https://www.duino.lk/product/rplidar-a1-a1m8-lidar-sensor/?srsltid=AU7gw4W1ucobEYuISlj6aiV5_qZSY0B_ja_uxfAhm-4stBJzR3oQ5hs4</t>
  </si>
  <si>
    <t>NEO LED Strip</t>
  </si>
  <si>
    <t xml:space="preserve">Indicate loading/unloading/moving/turning </t>
  </si>
  <si>
    <t>https://www.ebay.com/itm/195641203227?_skw=neo+pixel+led&amp;itmmeta=01M3PDNZ55WYPVCTVSFCJAG9R6&amp;hash=item2d8d1fda1b:g:eh0AAOSwpGdkBfxs&amp;itmprp=enc%3AAQALAAAA0LB2JXbe%2Bh2pdWBqbR2c2DtCy7J%2FqmJAffH6qWg5UAYi3Am7Sb82ny6BZYOjWrKrwrgHqMqvfSxWssCMSSt1Y8OLqWAqxdyXn401ofCLclu2g0RnwGA9BCidCG1ZYcObBH0uYhIuYqKYnkpqU1aFwkbSUA30vsvQN7WWd3stM%2FqGGLbs321WmHBomZd9zGLeFlK4eilt%2FBF2p1uytU%2FNaSVu3XDjzh09BHxmWiSPWBxxgK7XseCBbvOhQXKANLGBvKOC%2BKXGw9MF6qefh5mJ3QU%3D%7Ctkp%3ABk9SR-zy182daA</t>
  </si>
  <si>
    <t>Alarm buzzer</t>
  </si>
  <si>
    <t>Emergency sound</t>
  </si>
  <si>
    <t>https://tronic.lk/product/shd4216-active-piezo-buzzer-3-24vdc-42x16mm</t>
  </si>
  <si>
    <t>Hub motor</t>
  </si>
  <si>
    <t>move the AGV</t>
  </si>
  <si>
    <t>https://www.zlingkj.com/robot-hub-servo-motor-series/550958</t>
  </si>
  <si>
    <t xml:space="preserve">Relays </t>
  </si>
  <si>
    <t>to control the door lock</t>
  </si>
  <si>
    <t>https://tronic.lk/product/5vdc-4-way-4-channel-relay-module-with-coupling-protect</t>
  </si>
  <si>
    <t xml:space="preserve">Buck converter </t>
  </si>
  <si>
    <t>to power raspberry from 24V</t>
  </si>
  <si>
    <t>https://tronic.lk/product/8a-300w-dc-to-dc-step-down-buck-adjustable-constant-vol</t>
  </si>
  <si>
    <t>Display</t>
  </si>
  <si>
    <t>display logs and the state</t>
  </si>
  <si>
    <t>4040 bracket (16PCS + 4PCS)</t>
  </si>
  <si>
    <t>for profile bar joints</t>
  </si>
  <si>
    <t>16PCS and 4PCS</t>
  </si>
  <si>
    <t>https://www.daraz.lk/products/aluminum-profile-corner-bracketl-brackets-connector-for-4040-series-standard-8mm-slot-aluminum-extrusion-profile-i513101813-s2493357524.html?</t>
  </si>
  <si>
    <t xml:space="preserve">trolly  fabrication cost </t>
  </si>
  <si>
    <t>2-Core Shielded</t>
  </si>
  <si>
    <t>https://tronic.lk/product/2-core-shielded-microphone-cable-per-meter-professional?srsltid=AU7gw4XycrVkZl4gmD_B2tkNuTYimDlQzdfEyD0ux-2fKiQZKruihAsf</t>
  </si>
  <si>
    <t xml:space="preserve">Pcb Screw Terminal Block 3.81 pitch 5p </t>
  </si>
  <si>
    <t>5P</t>
  </si>
  <si>
    <t>https://www.aliexpress.com/item/32858375292.html?spm=a2g0o.productlist.main.2.73afa522UqBHeW&amp;algo_pvid=2e8a7bc1-5c40-4ae9-93c4-e04dfb381e71&amp;algo_exp_id=2e8a7bc1-5c40-4ae9-93c4-e04dfb381e71-1&amp;pdp_ext_f=%7B%22order%22%3A%22205%22%2C%22eval%22%3A%221%22%2C%22fromPage%22%3A%22search%22%7D&amp;pdp_npi=6%40dis%21LKR%211121.60%21408.88%21%21%212.99%211.09%21%40210178d717908612095265781e1064%2165390204514%21sea%21LK%210%21ABX%211%210%21n_tag%3A-29910%3Bd%3A84cf5970%3Bm03_new_user%3A-29895%3BpisId%3A5000000216878933&amp;curPageLogUid=VRCCZHpb4ias&amp;utparam-url=scene%3Asearch%7Cquery_from%3A%7Cx_object_id%3A32858375292%7C_p_origin_prod%3A</t>
  </si>
  <si>
    <t>SUM</t>
  </si>
  <si>
    <t>Additional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</si>
</sst>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0.0"/>
      <color rgb="FF191919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Arial"/>
      <scheme val="minor"/>
    </font>
    <font>
      <u/>
      <color rgb="FF434343"/>
      <name val="Arial"/>
      <scheme val="minor"/>
    </font>
    <font>
      <color rgb="FF434343"/>
      <name val="Arial"/>
      <scheme val="minor"/>
    </font>
    <font>
      <u/>
      <color rgb="FF434343"/>
      <name val="Arial"/>
      <scheme val="minor"/>
    </font>
    <font>
      <sz val="10.0"/>
      <color rgb="FF333E48"/>
      <name val="Roboto"/>
    </font>
    <font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2" fontId="9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oor lock mechanis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0" displayName="Table1" name="Table1" id="1">
  <tableColumns count="10">
    <tableColumn name="Item Num" id="1"/>
    <tableColumn name="Item Name" id="2"/>
    <tableColumn name="Purpose" id="3"/>
    <tableColumn name="Unit Price (USD)" id="4"/>
    <tableColumn name="Converted price(LKR)" id="5"/>
    <tableColumn name="Quantity" id="6"/>
    <tableColumn name="Cost" id="7"/>
    <tableColumn name="Availability (In Office)" id="8"/>
    <tableColumn name="option (select this option from the website)" id="9"/>
    <tableColumn name="Link" id="10"/>
  </tableColumns>
  <tableStyleInfo name="Door lock mechanis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tronic.lk/product/shd4216-active-piezo-buzzer-3-24vdc-42x16mm" TargetMode="External"/><Relationship Id="rId10" Type="http://schemas.openxmlformats.org/officeDocument/2006/relationships/hyperlink" Target="https://www.duino.lk/product/rplidar-a1-a1m8-lidar-sensor/?srsltid=AU7gw4W1ucobEYuISlj6aiV5_qZSY0B_ja_uxfAhm-4stBJzR3oQ5hs4" TargetMode="External"/><Relationship Id="rId13" Type="http://schemas.openxmlformats.org/officeDocument/2006/relationships/hyperlink" Target="https://tronic.lk/product/5vdc-4-way-4-channel-relay-module-with-coupling-protect" TargetMode="External"/><Relationship Id="rId12" Type="http://schemas.openxmlformats.org/officeDocument/2006/relationships/hyperlink" Target="https://www.zlingkj.com/robot-hub-servo-motor-series/550958" TargetMode="External"/><Relationship Id="rId1" Type="http://schemas.openxmlformats.org/officeDocument/2006/relationships/hyperlink" Target="https://zltech-hubmotor.en.made-in-china.com/product/GFTAuCzSbKVf/China-Zltech-Zlac8015D-24V-36V-48V-15A-30A-500W-3-Phase-Canopen-RS485-AC-DC-Hub-Servo-Motor-Driver-for-Automatic-Delivery-Robot.html" TargetMode="External"/><Relationship Id="rId2" Type="http://schemas.openxmlformats.org/officeDocument/2006/relationships/hyperlink" Target="https://www.aliexpress.com/item/1005011528664443.html?spm=a2g0o.detail.pcDetailTopMoreOtherSeller.7.62eau6uGu6uGyn&amp;gps-id=pcDetailTopMoreOtherSeller&amp;scm=1007.40050.354490.0&amp;scm_id=1007.40050.354490.0&amp;scm-url=1007.40050.354490.0&amp;pvid=95cbe572-d160-48bc-803c-ba0ac5a07730&amp;_t=gps-id%3ApcDetailTopMoreOtherSeller%2Cscm-url%3A1007.40050.354490.0%2Cpvid%3A95cbe572-d160-48bc-803c-ba0ac5a07730%2Ctpp_buckets%3A668%232846%238114%231999&amp;pdp_ext_f=%7B%22order%22%3A%22219%22%2C%22eval%22%3A%221%22%2C%22sceneId%22%3A%2230050%22%2C%22fromPage%22%3A%22recommend%22%7D&amp;pdp_npi=6%40dis%21LKR%21374.13%21318.12%21%21%216.68%215.68%21%400be71e1917906738284263492e0d9b%2112000055831084198%21rec%21LK%211901724142%21X%211%210%21n_tag%3A-29919%3Bd%3A72098d1e%3Bm03_new_user%3A-29895&amp;utparam-url=scene%3ApcDetailTopMoreOtherSeller%7Cquery_from%3A%7Cx_object_id%3A1005011528664443%7C_p_origin_prod%3A" TargetMode="External"/><Relationship Id="rId3" Type="http://schemas.openxmlformats.org/officeDocument/2006/relationships/hyperlink" Target="https://www.aliexpress.com/item/1005010676845393.html?spm=a2g0o.detail.pcDetailBottomMoreOtherSeller.2.4994zkDDzkDDGp&amp;gps-id=pcDetailBottomMoreOtherSeller&amp;scm=1007.40050.354490.0&amp;scm_id=1007.40050.354490.0&amp;scm-url=1007.40050.354490.0&amp;pvid=6b8a2623-51a7-4637-8dd4-42f518c35f39&amp;_t=gps-id%3ApcDetailBottomMoreOtherSeller%2Cscm-url%3A1007.40050.354490.0%2Cpvid%3A6b8a2623-51a7-4637-8dd4-42f518c35f39%2Ctpp_buckets%3A668%232846%238114%231999&amp;pdp_ext_f=%7B%22order%22%3A%22147%22%2C%22eval%22%3A%221%22%2C%22sceneId%22%3A%2230050%22%2C%22fromPage%22%3A%22recommend%22%7D&amp;pdp_npi=6%40dis%21LKR%2111948.55%215970.51%21%21%21213.34%21106.60%21%402102ee9117906722687307280e0df6%2112000053164085364%21rec%21LK%211901724142%21X%211%210%21n_tag%3A-29919%3Bd%3A72098d1e%3Bm03_new_user%3A-29895%3BpisId%3A5000000216877926&amp;utparam-url=scene%3ApcDetailBottomMoreOtherSeller%7Cquery_from%3A%7Cx_object_id%3A1005010676845393%7C_p_origin_prod%3A" TargetMode="External"/><Relationship Id="rId4" Type="http://schemas.openxmlformats.org/officeDocument/2006/relationships/hyperlink" Target="https://www.waveshare.com/usb-to-rs485.htm" TargetMode="External"/><Relationship Id="rId9" Type="http://schemas.openxmlformats.org/officeDocument/2006/relationships/hyperlink" Target="https://alphatronic.lk/product/emergency-stop-push-button-switch-22mm/?srsltid=AU7gw4X8Dcazg7KKl9r0YZBGu8gsfUeiyIR4zamuf29f_YZlXdPUhDoV" TargetMode="External"/><Relationship Id="rId15" Type="http://schemas.openxmlformats.org/officeDocument/2006/relationships/hyperlink" Target="https://www.daraz.lk/products/aluminum-profile-corner-bracketl-brackets-connector-for-4040-series-standard-8mm-slot-aluminum-extrusion-profile-i513101813-s2493357524.html?" TargetMode="External"/><Relationship Id="rId14" Type="http://schemas.openxmlformats.org/officeDocument/2006/relationships/hyperlink" Target="https://tronic.lk/product/8a-300w-dc-to-dc-step-down-buck-adjustable-constant-vol" TargetMode="External"/><Relationship Id="rId17" Type="http://schemas.openxmlformats.org/officeDocument/2006/relationships/hyperlink" Target="https://www.aliexpress.com/item/32858375292.html?spm=a2g0o.productlist.main.2.73afa522UqBHeW&amp;algo_pvid=2e8a7bc1-5c40-4ae9-93c4-e04dfb381e71&amp;algo_exp_id=2e8a7bc1-5c40-4ae9-93c4-e04dfb381e71-1&amp;pdp_ext_f=%7B%22order%22%3A%22205%22%2C%22eval%22%3A%221%22%2C%22fromPage%22%3A%22search%22%7D&amp;pdp_npi=6%40dis%21LKR%211121.60%21408.88%21%21%212.99%211.09%21%40210178d717908612095265781e1064%2165390204514%21sea%21LK%210%21ABX%211%210%21n_tag%3A-29910%3Bd%3A84cf5970%3Bm03_new_user%3A-29895%3BpisId%3A5000000216878933&amp;curPageLogUid=VRCCZHpb4ias&amp;utparam-url=scene%3Asearch%7Cquery_from%3A%7Cx_object_id%3A32858375292%7C_p_origin_prod%3A" TargetMode="External"/><Relationship Id="rId16" Type="http://schemas.openxmlformats.org/officeDocument/2006/relationships/hyperlink" Target="https://tronic.lk/product/2-core-shielded-microphone-cable-per-meter-professional?srsltid=AU7gw4XycrVkZl4gmD_B2tkNuTYimDlQzdfEyD0ux-2fKiQZKruihAsf" TargetMode="External"/><Relationship Id="rId5" Type="http://schemas.openxmlformats.org/officeDocument/2006/relationships/hyperlink" Target="https://tongzhutech.en.made-in-china.com/product/nZwajWmJYukY/China-Agv-Magnetic-Navigation-Sensor-High-Precision-Magnetic-Navigation-Agv-Car-Robot-Sensor-with-Can-RS485-RS232-Communication-Interface-TZS-MAG-1600-A-.html?pv_id=1k39gs6b9e67&amp;faw_id=1k39gs79oaf5&amp;bv_id=1k39gu34bb6d&amp;pbv_id=1k39gs5gj563" TargetMode="External"/><Relationship Id="rId6" Type="http://schemas.openxmlformats.org/officeDocument/2006/relationships/hyperlink" Target="https://www.aliexpress.com/item/1005004781413511.html?spm=a2g0o.productlist.main.12.7d1644ceaFXjXy&amp;aem_p4p_detail=202609290138221540819510718490006022369&amp;algo_pvid=630c0a0d-5fcf-43cc-9fc9-950e847f5cc4&amp;algo_exp_id=630c0a0d-5fcf-43cc-9fc9-950e847f5cc4-11&amp;pdp_ext_f=%7B%22order%22%3A%22126%22%2C%22eval%22%3A%221%22%2C%22fromPage%22%3A%22search%22%7D&amp;pdp_npi=6%40dis%21LKR%211364.15%211364.15%21%21%213.63%213.63%21%402101528c17906711020441647e0fdb%2112000030463450272%21sea%21LK%211901724142%21X%211%210%21n_tag%3A-29919%3Bd%3A72098d1e%3Bm03_new_user%3A-29895&amp;curPageLogUid=fjoXOVAutQRP&amp;utparam-url=scene%3Asearch%7Cquery_from%3A%7Cx_object_id%3A1005004781413511%7C_p_origin_prod%3A&amp;search_p4p_id=202609290138221540819510718490006022369_3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tronic.lk/product/raspberry-pi-4-model-b-8gb-original-uk?srsltid=AU7gw4VYazQYfN2kfBSAsI5bcWw7FJZo-4lA-dao6V-XNvxHLk9l_Trx" TargetMode="External"/><Relationship Id="rId8" Type="http://schemas.openxmlformats.org/officeDocument/2006/relationships/hyperlink" Target="https://www.jtc.lk/product/thread-type-swivel-and-lockable-5-tpr-thermoplastic-rubber-caster-whe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48.5"/>
    <col customWidth="1" min="3" max="3" width="36.13"/>
    <col customWidth="1" min="4" max="4" width="24.63"/>
    <col customWidth="1" min="5" max="5" width="26.25"/>
    <col customWidth="1" min="6" max="6" width="18.63"/>
    <col customWidth="1" min="7" max="7" width="22.63"/>
    <col customWidth="1" min="8" max="8" width="29.25"/>
    <col customWidth="1" min="9" max="9" width="48.63"/>
    <col customWidth="1" min="10" max="10" width="8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1" t="s">
        <v>9</v>
      </c>
    </row>
    <row r="2" ht="22.5" customHeight="1">
      <c r="A2" s="4">
        <v>1.0</v>
      </c>
      <c r="B2" s="5" t="s">
        <v>10</v>
      </c>
      <c r="C2" s="5" t="s">
        <v>11</v>
      </c>
      <c r="D2" s="4">
        <v>115.0</v>
      </c>
      <c r="E2" s="6">
        <f>D2*330</f>
        <v>37950</v>
      </c>
      <c r="F2" s="5">
        <v>1.0</v>
      </c>
      <c r="G2" s="6">
        <f t="shared" ref="G2:G25" si="1">E2*F2</f>
        <v>37950</v>
      </c>
      <c r="H2" s="7" t="s">
        <v>12</v>
      </c>
      <c r="I2" s="8"/>
      <c r="J2" s="9" t="s">
        <v>13</v>
      </c>
    </row>
    <row r="3" ht="22.5" customHeight="1">
      <c r="A3" s="4">
        <v>2.0</v>
      </c>
      <c r="B3" s="5" t="s">
        <v>14</v>
      </c>
      <c r="C3" s="5" t="s">
        <v>15</v>
      </c>
      <c r="D3" s="4"/>
      <c r="E3" s="5">
        <v>1007.88</v>
      </c>
      <c r="F3" s="5">
        <v>2.0</v>
      </c>
      <c r="G3" s="6">
        <f t="shared" si="1"/>
        <v>2015.76</v>
      </c>
      <c r="H3" s="7" t="s">
        <v>16</v>
      </c>
      <c r="I3" s="10" t="s">
        <v>17</v>
      </c>
      <c r="J3" s="11" t="s">
        <v>18</v>
      </c>
    </row>
    <row r="4" ht="22.5" customHeight="1">
      <c r="A4" s="4">
        <v>3.0</v>
      </c>
      <c r="B4" s="5" t="s">
        <v>19</v>
      </c>
      <c r="C4" s="5" t="s">
        <v>20</v>
      </c>
      <c r="D4" s="12"/>
      <c r="E4" s="5">
        <v>8331.21</v>
      </c>
      <c r="F4" s="5">
        <v>1.0</v>
      </c>
      <c r="G4" s="6">
        <f t="shared" si="1"/>
        <v>8331.21</v>
      </c>
      <c r="H4" s="7" t="s">
        <v>16</v>
      </c>
      <c r="I4" s="13" t="s">
        <v>21</v>
      </c>
      <c r="J4" s="11" t="s">
        <v>22</v>
      </c>
    </row>
    <row r="5" ht="22.5" customHeight="1">
      <c r="A5" s="4">
        <v>4.0</v>
      </c>
      <c r="B5" s="5" t="s">
        <v>23</v>
      </c>
      <c r="C5" s="5" t="s">
        <v>24</v>
      </c>
      <c r="D5" s="4">
        <v>10.0</v>
      </c>
      <c r="E5" s="6">
        <f t="shared" ref="E5:E6" si="2">D5*330</f>
        <v>3300</v>
      </c>
      <c r="F5" s="5">
        <v>2.0</v>
      </c>
      <c r="G5" s="6">
        <f t="shared" si="1"/>
        <v>6600</v>
      </c>
      <c r="H5" s="14" t="s">
        <v>12</v>
      </c>
      <c r="I5" s="8"/>
      <c r="J5" s="9" t="s">
        <v>25</v>
      </c>
    </row>
    <row r="6" ht="22.5" customHeight="1">
      <c r="A6" s="4">
        <v>5.0</v>
      </c>
      <c r="B6" s="5" t="s">
        <v>26</v>
      </c>
      <c r="C6" s="5" t="s">
        <v>27</v>
      </c>
      <c r="D6" s="4">
        <v>236.0</v>
      </c>
      <c r="E6" s="6">
        <f t="shared" si="2"/>
        <v>77880</v>
      </c>
      <c r="F6" s="5">
        <v>1.0</v>
      </c>
      <c r="G6" s="6">
        <f t="shared" si="1"/>
        <v>77880</v>
      </c>
      <c r="H6" s="14" t="s">
        <v>16</v>
      </c>
      <c r="I6" s="8"/>
      <c r="J6" s="11" t="s">
        <v>28</v>
      </c>
    </row>
    <row r="7" ht="22.5" customHeight="1">
      <c r="A7" s="4">
        <v>6.0</v>
      </c>
      <c r="B7" s="5" t="s">
        <v>29</v>
      </c>
      <c r="C7" s="5" t="s">
        <v>30</v>
      </c>
      <c r="D7" s="12"/>
      <c r="E7" s="5">
        <v>1436.7</v>
      </c>
      <c r="F7" s="5">
        <v>4.0</v>
      </c>
      <c r="G7" s="6">
        <f t="shared" si="1"/>
        <v>5746.8</v>
      </c>
      <c r="H7" s="7" t="s">
        <v>16</v>
      </c>
      <c r="I7" s="13" t="s">
        <v>31</v>
      </c>
      <c r="J7" s="11" t="s">
        <v>32</v>
      </c>
    </row>
    <row r="8" ht="22.5" customHeight="1">
      <c r="A8" s="4">
        <v>7.0</v>
      </c>
      <c r="B8" s="5" t="s">
        <v>33</v>
      </c>
      <c r="C8" s="5" t="s">
        <v>34</v>
      </c>
      <c r="D8" s="12"/>
      <c r="E8" s="5">
        <v>67500.0</v>
      </c>
      <c r="F8" s="5">
        <v>1.0</v>
      </c>
      <c r="G8" s="6">
        <f t="shared" si="1"/>
        <v>67500</v>
      </c>
      <c r="H8" s="7" t="s">
        <v>12</v>
      </c>
      <c r="I8" s="15"/>
      <c r="J8" s="16" t="s">
        <v>35</v>
      </c>
    </row>
    <row r="9" ht="22.5" customHeight="1">
      <c r="A9" s="4">
        <v>8.0</v>
      </c>
      <c r="B9" s="5" t="s">
        <v>36</v>
      </c>
      <c r="C9" s="5" t="s">
        <v>37</v>
      </c>
      <c r="D9" s="12"/>
      <c r="E9" s="5">
        <v>2450.0</v>
      </c>
      <c r="F9" s="5">
        <v>4.0</v>
      </c>
      <c r="G9" s="6">
        <f t="shared" si="1"/>
        <v>9800</v>
      </c>
      <c r="H9" s="7" t="s">
        <v>16</v>
      </c>
      <c r="I9" s="15"/>
      <c r="J9" s="11" t="s">
        <v>38</v>
      </c>
    </row>
    <row r="10" ht="22.5" customHeight="1">
      <c r="A10" s="4">
        <v>9.0</v>
      </c>
      <c r="B10" s="5" t="s">
        <v>39</v>
      </c>
      <c r="C10" s="5" t="s">
        <v>40</v>
      </c>
      <c r="D10" s="4">
        <v>195.0</v>
      </c>
      <c r="E10" s="6">
        <f>D10*330</f>
        <v>64350</v>
      </c>
      <c r="F10" s="5">
        <v>1.0</v>
      </c>
      <c r="G10" s="6">
        <f t="shared" si="1"/>
        <v>64350</v>
      </c>
      <c r="H10" s="17" t="s">
        <v>16</v>
      </c>
      <c r="I10" s="18"/>
      <c r="J10" s="19" t="s">
        <v>41</v>
      </c>
    </row>
    <row r="11" ht="22.5" customHeight="1">
      <c r="A11" s="4">
        <v>10.0</v>
      </c>
      <c r="B11" s="5" t="s">
        <v>42</v>
      </c>
      <c r="C11" s="5" t="s">
        <v>43</v>
      </c>
      <c r="D11" s="12"/>
      <c r="E11" s="5">
        <v>7600.0</v>
      </c>
      <c r="F11" s="5">
        <v>2.0</v>
      </c>
      <c r="G11" s="6">
        <f t="shared" si="1"/>
        <v>15200</v>
      </c>
      <c r="H11" s="7" t="s">
        <v>16</v>
      </c>
      <c r="I11" s="15"/>
      <c r="J11" s="5" t="s">
        <v>44</v>
      </c>
    </row>
    <row r="12" ht="22.5" customHeight="1">
      <c r="A12" s="4">
        <v>11.0</v>
      </c>
      <c r="B12" s="5" t="s">
        <v>45</v>
      </c>
      <c r="C12" s="5" t="s">
        <v>43</v>
      </c>
      <c r="D12" s="12"/>
      <c r="E12" s="5">
        <v>6955.0</v>
      </c>
      <c r="F12" s="5">
        <v>3.0</v>
      </c>
      <c r="G12" s="6">
        <f t="shared" si="1"/>
        <v>20865</v>
      </c>
      <c r="H12" s="7" t="s">
        <v>16</v>
      </c>
      <c r="I12" s="15"/>
      <c r="J12" s="5" t="s">
        <v>44</v>
      </c>
    </row>
    <row r="13" ht="22.5" customHeight="1">
      <c r="A13" s="4">
        <v>12.0</v>
      </c>
      <c r="B13" s="5" t="s">
        <v>46</v>
      </c>
      <c r="C13" s="5" t="s">
        <v>47</v>
      </c>
      <c r="D13" s="12"/>
      <c r="E13" s="5">
        <v>550.0</v>
      </c>
      <c r="F13" s="5">
        <v>1.0</v>
      </c>
      <c r="G13" s="6">
        <f t="shared" si="1"/>
        <v>550</v>
      </c>
      <c r="H13" s="7" t="s">
        <v>16</v>
      </c>
      <c r="I13" s="15"/>
      <c r="J13" s="16" t="s">
        <v>48</v>
      </c>
    </row>
    <row r="14" ht="22.5" customHeight="1">
      <c r="A14" s="4">
        <v>13.0</v>
      </c>
      <c r="B14" s="5" t="s">
        <v>49</v>
      </c>
      <c r="C14" s="5" t="s">
        <v>50</v>
      </c>
      <c r="D14" s="4">
        <v>12.9</v>
      </c>
      <c r="E14" s="5">
        <f>D14*330</f>
        <v>4257</v>
      </c>
      <c r="F14" s="5">
        <v>4.0</v>
      </c>
      <c r="G14" s="6">
        <f t="shared" si="1"/>
        <v>17028</v>
      </c>
      <c r="H14" s="7" t="s">
        <v>16</v>
      </c>
      <c r="I14" s="20" t="s">
        <v>51</v>
      </c>
      <c r="J14" s="21" t="s">
        <v>52</v>
      </c>
    </row>
    <row r="15" ht="22.5" customHeight="1">
      <c r="A15" s="4">
        <v>14.0</v>
      </c>
      <c r="B15" s="22" t="s">
        <v>53</v>
      </c>
      <c r="C15" s="5" t="s">
        <v>54</v>
      </c>
      <c r="D15" s="4"/>
      <c r="E15" s="5">
        <v>53900.0</v>
      </c>
      <c r="F15" s="5">
        <v>1.0</v>
      </c>
      <c r="G15" s="6">
        <f t="shared" si="1"/>
        <v>53900</v>
      </c>
      <c r="H15" s="7" t="s">
        <v>12</v>
      </c>
      <c r="I15" s="15"/>
      <c r="J15" s="16" t="s">
        <v>55</v>
      </c>
    </row>
    <row r="16" ht="22.5" customHeight="1">
      <c r="A16" s="4">
        <v>15.0</v>
      </c>
      <c r="B16" s="5" t="s">
        <v>56</v>
      </c>
      <c r="C16" s="5" t="s">
        <v>57</v>
      </c>
      <c r="D16" s="4">
        <v>4.0</v>
      </c>
      <c r="E16" s="5">
        <f>D16*330</f>
        <v>1320</v>
      </c>
      <c r="F16" s="5">
        <v>2.0</v>
      </c>
      <c r="G16" s="6">
        <f t="shared" si="1"/>
        <v>2640</v>
      </c>
      <c r="H16" s="7" t="s">
        <v>12</v>
      </c>
      <c r="I16" s="18"/>
      <c r="J16" s="19" t="s">
        <v>58</v>
      </c>
    </row>
    <row r="17" ht="22.5" customHeight="1">
      <c r="A17" s="4">
        <v>16.0</v>
      </c>
      <c r="B17" s="5" t="s">
        <v>59</v>
      </c>
      <c r="C17" s="5" t="s">
        <v>60</v>
      </c>
      <c r="D17" s="12"/>
      <c r="E17" s="5">
        <v>120.0</v>
      </c>
      <c r="F17" s="5">
        <v>2.0</v>
      </c>
      <c r="G17" s="6">
        <f t="shared" si="1"/>
        <v>240</v>
      </c>
      <c r="H17" s="7" t="s">
        <v>16</v>
      </c>
      <c r="I17" s="15"/>
      <c r="J17" s="9" t="s">
        <v>61</v>
      </c>
    </row>
    <row r="18" ht="22.5" customHeight="1">
      <c r="A18" s="4">
        <v>17.0</v>
      </c>
      <c r="B18" s="5" t="s">
        <v>62</v>
      </c>
      <c r="C18" s="5" t="s">
        <v>63</v>
      </c>
      <c r="D18" s="4">
        <v>99.0</v>
      </c>
      <c r="E18" s="6">
        <f>D18*330</f>
        <v>32670</v>
      </c>
      <c r="F18" s="5">
        <v>2.0</v>
      </c>
      <c r="G18" s="6">
        <f t="shared" si="1"/>
        <v>65340</v>
      </c>
      <c r="H18" s="14" t="s">
        <v>12</v>
      </c>
      <c r="I18" s="8"/>
      <c r="J18" s="9" t="s">
        <v>64</v>
      </c>
    </row>
    <row r="19" ht="22.5" customHeight="1">
      <c r="A19" s="4">
        <v>18.0</v>
      </c>
      <c r="B19" s="5" t="s">
        <v>65</v>
      </c>
      <c r="C19" s="5" t="s">
        <v>66</v>
      </c>
      <c r="D19" s="12"/>
      <c r="E19" s="5">
        <v>560.0</v>
      </c>
      <c r="F19" s="5">
        <v>1.0</v>
      </c>
      <c r="G19" s="6">
        <f t="shared" si="1"/>
        <v>560</v>
      </c>
      <c r="H19" s="7" t="s">
        <v>16</v>
      </c>
      <c r="I19" s="18"/>
      <c r="J19" s="23" t="s">
        <v>67</v>
      </c>
    </row>
    <row r="20" ht="22.5" customHeight="1">
      <c r="A20" s="4">
        <v>19.0</v>
      </c>
      <c r="B20" s="5" t="s">
        <v>68</v>
      </c>
      <c r="C20" s="5" t="s">
        <v>69</v>
      </c>
      <c r="D20" s="12"/>
      <c r="E20" s="5">
        <v>820.0</v>
      </c>
      <c r="F20" s="5">
        <v>1.0</v>
      </c>
      <c r="G20" s="6">
        <f t="shared" si="1"/>
        <v>820</v>
      </c>
      <c r="H20" s="7" t="s">
        <v>16</v>
      </c>
      <c r="I20" s="15"/>
      <c r="J20" s="16" t="s">
        <v>70</v>
      </c>
    </row>
    <row r="21" ht="22.5" customHeight="1">
      <c r="A21" s="4">
        <v>20.0</v>
      </c>
      <c r="B21" s="5" t="s">
        <v>71</v>
      </c>
      <c r="C21" s="5" t="s">
        <v>72</v>
      </c>
      <c r="D21" s="12"/>
      <c r="E21" s="5">
        <v>4924.0</v>
      </c>
      <c r="F21" s="5">
        <v>1.0</v>
      </c>
      <c r="G21" s="6">
        <f t="shared" si="1"/>
        <v>4924</v>
      </c>
      <c r="H21" s="7" t="s">
        <v>12</v>
      </c>
      <c r="I21" s="15"/>
      <c r="J21" s="5" t="s">
        <v>44</v>
      </c>
    </row>
    <row r="22" ht="22.5" customHeight="1">
      <c r="A22" s="4">
        <v>21.0</v>
      </c>
      <c r="B22" s="5" t="s">
        <v>73</v>
      </c>
      <c r="C22" s="5" t="s">
        <v>74</v>
      </c>
      <c r="D22" s="12"/>
      <c r="E22" s="5">
        <v>6353.0</v>
      </c>
      <c r="F22" s="5">
        <v>1.0</v>
      </c>
      <c r="G22" s="6">
        <f t="shared" si="1"/>
        <v>6353</v>
      </c>
      <c r="H22" s="7" t="s">
        <v>16</v>
      </c>
      <c r="I22" s="5" t="s">
        <v>75</v>
      </c>
      <c r="J22" s="16" t="s">
        <v>76</v>
      </c>
    </row>
    <row r="23" ht="22.5" customHeight="1">
      <c r="A23" s="4">
        <v>22.0</v>
      </c>
      <c r="B23" s="5" t="s">
        <v>77</v>
      </c>
      <c r="D23" s="12"/>
      <c r="E23" s="5">
        <v>10000.0</v>
      </c>
      <c r="F23" s="5">
        <v>1.0</v>
      </c>
      <c r="G23" s="6">
        <f t="shared" si="1"/>
        <v>10000</v>
      </c>
      <c r="H23" s="7" t="s">
        <v>16</v>
      </c>
    </row>
    <row r="24" ht="22.5" customHeight="1">
      <c r="A24" s="4">
        <v>23.0</v>
      </c>
      <c r="B24" s="5" t="s">
        <v>78</v>
      </c>
      <c r="D24" s="12"/>
      <c r="E24" s="5">
        <v>220.0</v>
      </c>
      <c r="F24" s="5">
        <v>1.0</v>
      </c>
      <c r="G24" s="6">
        <f t="shared" si="1"/>
        <v>220</v>
      </c>
      <c r="H24" s="7" t="s">
        <v>16</v>
      </c>
      <c r="J24" s="11" t="s">
        <v>79</v>
      </c>
    </row>
    <row r="25" ht="22.5" customHeight="1">
      <c r="A25" s="4">
        <v>24.0</v>
      </c>
      <c r="B25" s="5" t="s">
        <v>80</v>
      </c>
      <c r="D25" s="12"/>
      <c r="E25" s="5">
        <v>844.0</v>
      </c>
      <c r="F25" s="5">
        <v>1.0</v>
      </c>
      <c r="G25" s="6">
        <f t="shared" si="1"/>
        <v>844</v>
      </c>
      <c r="H25" s="7" t="s">
        <v>16</v>
      </c>
      <c r="I25" s="13" t="s">
        <v>81</v>
      </c>
      <c r="J25" s="9" t="s">
        <v>82</v>
      </c>
    </row>
    <row r="26" ht="22.5" customHeight="1">
      <c r="A26" s="4"/>
      <c r="D26" s="12"/>
      <c r="H26" s="7"/>
      <c r="J26" s="5"/>
    </row>
    <row r="27" ht="22.5" customHeight="1">
      <c r="A27" s="12"/>
      <c r="D27" s="12"/>
      <c r="E27" s="6">
        <f t="shared" ref="E27:E60" si="3">D27*330</f>
        <v>0</v>
      </c>
      <c r="G27" s="6">
        <f t="shared" ref="G27:G58" si="4">E27*F27</f>
        <v>0</v>
      </c>
      <c r="H27" s="24"/>
    </row>
    <row r="28" ht="22.5" customHeight="1">
      <c r="A28" s="12"/>
      <c r="D28" s="12"/>
      <c r="E28" s="6">
        <f t="shared" si="3"/>
        <v>0</v>
      </c>
      <c r="G28" s="6">
        <f t="shared" si="4"/>
        <v>0</v>
      </c>
      <c r="H28" s="24"/>
    </row>
    <row r="29" ht="22.5" customHeight="1">
      <c r="A29" s="12"/>
      <c r="D29" s="12"/>
      <c r="E29" s="6">
        <f t="shared" si="3"/>
        <v>0</v>
      </c>
      <c r="G29" s="6">
        <f t="shared" si="4"/>
        <v>0</v>
      </c>
      <c r="H29" s="24"/>
    </row>
    <row r="30" ht="22.5" customHeight="1">
      <c r="A30" s="12"/>
      <c r="D30" s="12"/>
      <c r="E30" s="6">
        <f t="shared" si="3"/>
        <v>0</v>
      </c>
      <c r="G30" s="6">
        <f t="shared" si="4"/>
        <v>0</v>
      </c>
      <c r="H30" s="24"/>
    </row>
    <row r="31" ht="22.5" customHeight="1">
      <c r="A31" s="12"/>
      <c r="D31" s="12"/>
      <c r="E31" s="6">
        <f t="shared" si="3"/>
        <v>0</v>
      </c>
      <c r="G31" s="6">
        <f t="shared" si="4"/>
        <v>0</v>
      </c>
      <c r="H31" s="24"/>
    </row>
    <row r="32" ht="22.5" customHeight="1">
      <c r="A32" s="12"/>
      <c r="D32" s="12"/>
      <c r="E32" s="6">
        <f t="shared" si="3"/>
        <v>0</v>
      </c>
      <c r="G32" s="6">
        <f t="shared" si="4"/>
        <v>0</v>
      </c>
      <c r="H32" s="24"/>
    </row>
    <row r="33" ht="22.5" customHeight="1">
      <c r="A33" s="12"/>
      <c r="D33" s="12"/>
      <c r="E33" s="6">
        <f t="shared" si="3"/>
        <v>0</v>
      </c>
      <c r="G33" s="6">
        <f t="shared" si="4"/>
        <v>0</v>
      </c>
      <c r="H33" s="24"/>
    </row>
    <row r="34" ht="22.5" customHeight="1">
      <c r="A34" s="12"/>
      <c r="D34" s="12"/>
      <c r="E34" s="6">
        <f t="shared" si="3"/>
        <v>0</v>
      </c>
      <c r="G34" s="6">
        <f t="shared" si="4"/>
        <v>0</v>
      </c>
      <c r="H34" s="24"/>
    </row>
    <row r="35" ht="22.5" customHeight="1">
      <c r="A35" s="12"/>
      <c r="D35" s="12"/>
      <c r="E35" s="6">
        <f t="shared" si="3"/>
        <v>0</v>
      </c>
      <c r="G35" s="6">
        <f t="shared" si="4"/>
        <v>0</v>
      </c>
      <c r="H35" s="24"/>
    </row>
    <row r="36" ht="22.5" customHeight="1">
      <c r="A36" s="12"/>
      <c r="D36" s="12"/>
      <c r="E36" s="6">
        <f t="shared" si="3"/>
        <v>0</v>
      </c>
      <c r="G36" s="6">
        <f t="shared" si="4"/>
        <v>0</v>
      </c>
      <c r="H36" s="24"/>
    </row>
    <row r="37" ht="22.5" customHeight="1">
      <c r="A37" s="12"/>
      <c r="D37" s="12"/>
      <c r="E37" s="6">
        <f t="shared" si="3"/>
        <v>0</v>
      </c>
      <c r="G37" s="6">
        <f t="shared" si="4"/>
        <v>0</v>
      </c>
      <c r="H37" s="24"/>
    </row>
    <row r="38" ht="22.5" customHeight="1">
      <c r="A38" s="12"/>
      <c r="D38" s="12"/>
      <c r="E38" s="6">
        <f t="shared" si="3"/>
        <v>0</v>
      </c>
      <c r="G38" s="6">
        <f t="shared" si="4"/>
        <v>0</v>
      </c>
      <c r="H38" s="24"/>
    </row>
    <row r="39" ht="22.5" customHeight="1">
      <c r="A39" s="12"/>
      <c r="D39" s="12"/>
      <c r="E39" s="6">
        <f t="shared" si="3"/>
        <v>0</v>
      </c>
      <c r="G39" s="6">
        <f t="shared" si="4"/>
        <v>0</v>
      </c>
      <c r="H39" s="24"/>
    </row>
    <row r="40" ht="22.5" customHeight="1">
      <c r="A40" s="12"/>
      <c r="D40" s="12"/>
      <c r="E40" s="6">
        <f t="shared" si="3"/>
        <v>0</v>
      </c>
      <c r="G40" s="6">
        <f t="shared" si="4"/>
        <v>0</v>
      </c>
      <c r="H40" s="24"/>
    </row>
    <row r="41" ht="22.5" customHeight="1">
      <c r="A41" s="12"/>
      <c r="D41" s="12"/>
      <c r="E41" s="6">
        <f t="shared" si="3"/>
        <v>0</v>
      </c>
      <c r="G41" s="6">
        <f t="shared" si="4"/>
        <v>0</v>
      </c>
      <c r="H41" s="24"/>
    </row>
    <row r="42" ht="22.5" customHeight="1">
      <c r="A42" s="12"/>
      <c r="D42" s="12"/>
      <c r="E42" s="6">
        <f t="shared" si="3"/>
        <v>0</v>
      </c>
      <c r="G42" s="6">
        <f t="shared" si="4"/>
        <v>0</v>
      </c>
      <c r="H42" s="24"/>
    </row>
    <row r="43" ht="22.5" customHeight="1">
      <c r="A43" s="12"/>
      <c r="D43" s="12"/>
      <c r="E43" s="6">
        <f t="shared" si="3"/>
        <v>0</v>
      </c>
      <c r="G43" s="6">
        <f t="shared" si="4"/>
        <v>0</v>
      </c>
      <c r="H43" s="24"/>
    </row>
    <row r="44" ht="22.5" customHeight="1">
      <c r="A44" s="12"/>
      <c r="D44" s="12"/>
      <c r="E44" s="6">
        <f t="shared" si="3"/>
        <v>0</v>
      </c>
      <c r="G44" s="6">
        <f t="shared" si="4"/>
        <v>0</v>
      </c>
      <c r="H44" s="24"/>
    </row>
    <row r="45" ht="22.5" customHeight="1">
      <c r="A45" s="12"/>
      <c r="D45" s="12"/>
      <c r="E45" s="6">
        <f t="shared" si="3"/>
        <v>0</v>
      </c>
      <c r="G45" s="6">
        <f t="shared" si="4"/>
        <v>0</v>
      </c>
      <c r="H45" s="24"/>
    </row>
    <row r="46" ht="22.5" customHeight="1">
      <c r="A46" s="12"/>
      <c r="D46" s="12"/>
      <c r="E46" s="6">
        <f t="shared" si="3"/>
        <v>0</v>
      </c>
      <c r="G46" s="6">
        <f t="shared" si="4"/>
        <v>0</v>
      </c>
      <c r="H46" s="24"/>
    </row>
    <row r="47" ht="22.5" customHeight="1">
      <c r="A47" s="12"/>
      <c r="D47" s="12"/>
      <c r="E47" s="6">
        <f t="shared" si="3"/>
        <v>0</v>
      </c>
      <c r="G47" s="6">
        <f t="shared" si="4"/>
        <v>0</v>
      </c>
      <c r="H47" s="24"/>
    </row>
    <row r="48" ht="22.5" customHeight="1">
      <c r="A48" s="12"/>
      <c r="D48" s="12"/>
      <c r="E48" s="6">
        <f t="shared" si="3"/>
        <v>0</v>
      </c>
      <c r="G48" s="6">
        <f t="shared" si="4"/>
        <v>0</v>
      </c>
      <c r="H48" s="24"/>
    </row>
    <row r="49" ht="22.5" customHeight="1">
      <c r="A49" s="12"/>
      <c r="D49" s="12"/>
      <c r="E49" s="6">
        <f t="shared" si="3"/>
        <v>0</v>
      </c>
      <c r="G49" s="6">
        <f t="shared" si="4"/>
        <v>0</v>
      </c>
      <c r="H49" s="24"/>
    </row>
    <row r="50" ht="22.5" customHeight="1">
      <c r="A50" s="12"/>
      <c r="D50" s="12"/>
      <c r="E50" s="6">
        <f t="shared" si="3"/>
        <v>0</v>
      </c>
      <c r="G50" s="6">
        <f t="shared" si="4"/>
        <v>0</v>
      </c>
      <c r="H50" s="24"/>
    </row>
    <row r="51" ht="22.5" customHeight="1">
      <c r="A51" s="12"/>
      <c r="D51" s="12"/>
      <c r="E51" s="6">
        <f t="shared" si="3"/>
        <v>0</v>
      </c>
      <c r="G51" s="6">
        <f t="shared" si="4"/>
        <v>0</v>
      </c>
      <c r="H51" s="24"/>
    </row>
    <row r="52" ht="22.5" customHeight="1">
      <c r="A52" s="12"/>
      <c r="D52" s="12"/>
      <c r="E52" s="6">
        <f t="shared" si="3"/>
        <v>0</v>
      </c>
      <c r="G52" s="6">
        <f t="shared" si="4"/>
        <v>0</v>
      </c>
      <c r="H52" s="24"/>
    </row>
    <row r="53" ht="22.5" customHeight="1">
      <c r="A53" s="12"/>
      <c r="D53" s="12"/>
      <c r="E53" s="6">
        <f t="shared" si="3"/>
        <v>0</v>
      </c>
      <c r="G53" s="6">
        <f t="shared" si="4"/>
        <v>0</v>
      </c>
      <c r="H53" s="24"/>
    </row>
    <row r="54" ht="22.5" customHeight="1">
      <c r="A54" s="12"/>
      <c r="D54" s="12"/>
      <c r="E54" s="6">
        <f t="shared" si="3"/>
        <v>0</v>
      </c>
      <c r="G54" s="6">
        <f t="shared" si="4"/>
        <v>0</v>
      </c>
      <c r="H54" s="24"/>
    </row>
    <row r="55" ht="22.5" customHeight="1">
      <c r="A55" s="12"/>
      <c r="D55" s="12"/>
      <c r="E55" s="6">
        <f t="shared" si="3"/>
        <v>0</v>
      </c>
      <c r="G55" s="6">
        <f t="shared" si="4"/>
        <v>0</v>
      </c>
      <c r="H55" s="24"/>
    </row>
    <row r="56" ht="22.5" customHeight="1">
      <c r="A56" s="12"/>
      <c r="D56" s="12"/>
      <c r="E56" s="6">
        <f t="shared" si="3"/>
        <v>0</v>
      </c>
      <c r="G56" s="6">
        <f t="shared" si="4"/>
        <v>0</v>
      </c>
      <c r="H56" s="24"/>
    </row>
    <row r="57" ht="22.5" customHeight="1">
      <c r="A57" s="12"/>
      <c r="D57" s="12"/>
      <c r="E57" s="6">
        <f t="shared" si="3"/>
        <v>0</v>
      </c>
      <c r="G57" s="6">
        <f t="shared" si="4"/>
        <v>0</v>
      </c>
      <c r="H57" s="24"/>
    </row>
    <row r="58" ht="22.5" customHeight="1">
      <c r="A58" s="25"/>
      <c r="B58" s="26"/>
      <c r="C58" s="26"/>
      <c r="D58" s="25"/>
      <c r="E58" s="6">
        <f t="shared" si="3"/>
        <v>0</v>
      </c>
      <c r="G58" s="6">
        <f t="shared" si="4"/>
        <v>0</v>
      </c>
      <c r="H58" s="24"/>
      <c r="I58" s="26"/>
      <c r="J58" s="26"/>
    </row>
    <row r="59" ht="22.5" customHeight="1">
      <c r="A59" s="25"/>
      <c r="B59" s="26"/>
      <c r="C59" s="26"/>
      <c r="D59" s="25"/>
      <c r="E59" s="27">
        <f t="shared" si="3"/>
        <v>0</v>
      </c>
      <c r="F59" s="28" t="s">
        <v>83</v>
      </c>
      <c r="G59" s="26">
        <f>sum(G2:G57)</f>
        <v>479657.77</v>
      </c>
      <c r="H59" s="24"/>
      <c r="I59" s="26"/>
      <c r="J59" s="26"/>
    </row>
    <row r="60" ht="22.5" customHeight="1">
      <c r="A60" s="25"/>
      <c r="B60" s="26"/>
      <c r="C60" s="26"/>
      <c r="D60" s="25"/>
      <c r="E60" s="27">
        <f t="shared" si="3"/>
        <v>0</v>
      </c>
      <c r="F60" s="29" t="s">
        <v>84</v>
      </c>
      <c r="G60" s="26">
        <f>SUMIF(H2:H58, "no", G2:G58)</f>
        <v>240803.77</v>
      </c>
      <c r="H60" s="24"/>
      <c r="I60" s="26"/>
      <c r="J60" s="26"/>
    </row>
  </sheetData>
  <dataValidations>
    <dataValidation type="custom" allowBlank="1" showDropDown="1" sqref="A2:A60 D2:D60">
      <formula1>AND(ISNUMBER(A2),(NOT(OR(NOT(ISERROR(DATEVALUE(A2))), AND(ISNUMBER(A2), LEFT(CELL("format", A2))="D")))))</formula1>
    </dataValidation>
    <dataValidation type="list" allowBlank="1" sqref="H2:H60">
      <formula1>"yes,no"</formula1>
    </dataValidation>
  </dataValidations>
  <hyperlinks>
    <hyperlink r:id="rId1" ref="J2"/>
    <hyperlink r:id="rId2" ref="J3"/>
    <hyperlink r:id="rId3" location="nav-specification" ref="J4"/>
    <hyperlink r:id="rId4" ref="J5"/>
    <hyperlink r:id="rId5" ref="J6"/>
    <hyperlink r:id="rId6" location="nav-specification" ref="J7"/>
    <hyperlink r:id="rId7" ref="J8"/>
    <hyperlink r:id="rId8" ref="J9"/>
    <hyperlink r:id="rId9" ref="J13"/>
    <hyperlink r:id="rId10" ref="J15"/>
    <hyperlink r:id="rId11" ref="J17"/>
    <hyperlink r:id="rId12" ref="J18"/>
    <hyperlink r:id="rId13" ref="J19"/>
    <hyperlink r:id="rId14" ref="J20"/>
    <hyperlink r:id="rId15" ref="J22"/>
    <hyperlink r:id="rId16" ref="J24"/>
    <hyperlink r:id="rId17" ref="J25"/>
  </hyperlinks>
  <drawing r:id="rId18"/>
  <tableParts count="1">
    <tablePart r:id="rId20"/>
  </tableParts>
</worksheet>
</file>